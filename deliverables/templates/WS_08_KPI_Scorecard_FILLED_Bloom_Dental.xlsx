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mpaign Setup" sheetId="1" state="visible" r:id="rId1"/>
    <sheet xmlns:r="http://schemas.openxmlformats.org/officeDocument/2006/relationships" name="Weekly Tracker" sheetId="2" state="visible" r:id="rId2"/>
    <sheet xmlns:r="http://schemas.openxmlformats.org/officeDocument/2006/relationships" name="Progress Dashboa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m\ d&quot;, &quot;yyyy"/>
    <numFmt numFmtId="165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6A34A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CFCE7"/>
        <bgColor rgb="FFCC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7" fillId="2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8" min="1" max="1"/>
    <col width="22" customWidth="1" style="18" min="2" max="2"/>
    <col width="22" customWidth="1" style="18" min="3" max="4"/>
    <col width="22" customWidth="1" style="19" min="4" max="4"/>
    <col width="46" customWidth="1" style="18" min="5" max="5"/>
  </cols>
  <sheetData>
    <row r="1" ht="27.75" customHeight="1" s="19">
      <c r="A1" s="20" t="inlineStr">
        <is>
          <t>CAMPAIGN SETUP</t>
        </is>
      </c>
      <c r="B1" s="21" t="n"/>
      <c r="C1" s="21" t="n"/>
      <c r="D1" s="21" t="n"/>
      <c r="E1" s="21" t="n"/>
    </row>
    <row r="2" ht="15" customHeight="1" s="19">
      <c r="A2" s="22" t="inlineStr">
        <is>
          <t>Campaign Name</t>
        </is>
      </c>
      <c r="B2" s="23" t="inlineStr">
        <is>
          <t>Bloom Dental Studio - 60-Day New Patient Consultation Campaign</t>
        </is>
      </c>
      <c r="C2" s="21" t="n"/>
      <c r="D2" s="21" t="n"/>
      <c r="E2" s="21" t="n"/>
    </row>
    <row r="3" ht="15" customHeight="1" s="19">
      <c r="A3" s="24" t="inlineStr">
        <is>
          <t>Client / Business Name</t>
        </is>
      </c>
      <c r="B3" s="23" t="inlineStr">
        <is>
          <t>Bloom Dental Studio</t>
        </is>
      </c>
      <c r="C3" s="21" t="n"/>
      <c r="D3" s="21" t="n"/>
      <c r="E3" s="21" t="n"/>
    </row>
    <row r="4" ht="15" customHeight="1" s="19">
      <c r="A4" s="22" t="inlineStr">
        <is>
          <t>Campaign Start Date</t>
        </is>
      </c>
      <c r="B4" s="25" t="n">
        <v>46235</v>
      </c>
      <c r="C4" s="21" t="n"/>
      <c r="D4" s="21" t="n"/>
      <c r="E4" s="21" t="n"/>
    </row>
    <row r="5" ht="15" customHeight="1" s="19">
      <c r="A5" s="24" t="inlineStr">
        <is>
          <t>Campaign End Date</t>
        </is>
      </c>
      <c r="B5" s="25" t="n">
        <v>46295</v>
      </c>
      <c r="C5" s="21" t="n"/>
      <c r="D5" s="21" t="n"/>
      <c r="E5" s="21" t="n"/>
    </row>
    <row r="6" ht="15" customHeight="1" s="19">
      <c r="A6" s="22" t="inlineStr">
        <is>
          <t>Primary Goal Description</t>
        </is>
      </c>
      <c r="B6" s="23" t="inlineStr">
        <is>
          <t>Book 60 confirmed free new-patient consultations within 60 days</t>
        </is>
      </c>
      <c r="C6" s="21" t="n"/>
      <c r="D6" s="21" t="n"/>
      <c r="E6" s="21" t="n"/>
    </row>
    <row r="7" ht="15" customHeight="1" s="19">
      <c r="A7" s="24" t="inlineStr">
        <is>
          <t>Primary Goal Target</t>
        </is>
      </c>
      <c r="B7" s="23" t="n">
        <v>60</v>
      </c>
      <c r="C7" s="21" t="n"/>
      <c r="D7" s="21" t="n"/>
      <c r="E7" s="21" t="n"/>
    </row>
    <row r="8" ht="15" customHeight="1" s="19">
      <c r="A8" s="22" t="inlineStr">
        <is>
          <t>Primary Goal Metric (e.g. booked consultations)</t>
        </is>
      </c>
      <c r="B8" s="23" t="inlineStr">
        <is>
          <t>Confirmed booked consultations</t>
        </is>
      </c>
      <c r="C8" s="21" t="n"/>
      <c r="D8" s="21" t="n"/>
      <c r="E8" s="21" t="n"/>
    </row>
    <row r="9" ht="9.75" customHeight="1" s="19">
      <c r="A9" s="21" t="n"/>
      <c r="B9" s="21" t="n"/>
      <c r="C9" s="21" t="n"/>
      <c r="D9" s="21" t="n"/>
      <c r="E9" s="21" t="n"/>
    </row>
    <row r="10" ht="21.75" customHeight="1" s="19">
      <c r="A10" s="26" t="inlineStr">
        <is>
          <t>KPI Name</t>
        </is>
      </c>
      <c r="B10" s="26" t="inlineStr">
        <is>
          <t>Baseline</t>
        </is>
      </c>
      <c r="C10" s="26" t="inlineStr">
        <is>
          <t>Target</t>
        </is>
      </c>
      <c r="D10" s="26" t="inlineStr">
        <is>
          <t>Unit</t>
        </is>
      </c>
      <c r="E10" s="26" t="inlineStr">
        <is>
          <t>Notes</t>
        </is>
      </c>
    </row>
    <row r="11" ht="15" customHeight="1" s="19">
      <c r="A11" s="27" t="inlineStr">
        <is>
          <t>Booked consultations per month</t>
        </is>
      </c>
      <c r="B11" s="23" t="n">
        <v>6</v>
      </c>
      <c r="C11" s="23" t="n">
        <v>30</v>
      </c>
      <c r="D11" s="23" t="inlineStr">
        <is>
          <t>bookings/month</t>
        </is>
      </c>
      <c r="E11" s="23" t="inlineStr">
        <is>
          <t>Baseline from current website leads; target equals 60 bookings over 60 days</t>
        </is>
      </c>
    </row>
    <row r="12" ht="15" customHeight="1" s="19">
      <c r="A12" s="28" t="inlineStr">
        <is>
          <t>No-show rate (%)</t>
        </is>
      </c>
      <c r="B12" s="23" t="n">
        <v>35</v>
      </c>
      <c r="C12" s="23" t="n">
        <v>15</v>
      </c>
      <c r="D12" s="23" t="inlineStr">
        <is>
          <t>%</t>
        </is>
      </c>
      <c r="E12" s="23" t="inlineStr">
        <is>
          <t>Lower is better; target is below 15%</t>
        </is>
      </c>
    </row>
    <row r="13" ht="15" customHeight="1" s="19">
      <c r="A13" s="27" t="inlineStr">
        <is>
          <t>Lead-to-book conversion rate (%)</t>
        </is>
      </c>
      <c r="B13" s="23" t="n">
        <v>30</v>
      </c>
      <c r="C13" s="23" t="n">
        <v>50</v>
      </c>
      <c r="D13" s="23" t="inlineStr">
        <is>
          <t>%</t>
        </is>
      </c>
      <c r="E13" s="23" t="inlineStr">
        <is>
          <t>Current approx. 6 bookings from 20 monthly leads</t>
        </is>
      </c>
    </row>
    <row r="14" ht="15" customHeight="1" s="19">
      <c r="A14" s="28" t="inlineStr">
        <is>
          <t>Whitening attach rate (%)</t>
        </is>
      </c>
      <c r="B14" s="23" t="n">
        <v>17.5</v>
      </c>
      <c r="C14" s="23" t="n">
        <v>40</v>
      </c>
      <c r="D14" s="23" t="inlineStr">
        <is>
          <t>%</t>
        </is>
      </c>
      <c r="E14" s="23" t="inlineStr">
        <is>
          <t>Estimated current attach rate 15-20%; target 40%</t>
        </is>
      </c>
    </row>
    <row r="15" ht="15" customHeight="1" s="19">
      <c r="A15" s="27" t="inlineStr">
        <is>
          <t>New leads per month</t>
        </is>
      </c>
      <c r="B15" s="23" t="n">
        <v>20</v>
      </c>
      <c r="C15" s="23" t="n">
        <v>60</v>
      </c>
      <c r="D15" s="23" t="inlineStr">
        <is>
          <t>leads/month</t>
        </is>
      </c>
      <c r="E15" s="23" t="inlineStr">
        <is>
          <t>Target assumes paid Meta traffic increases qualified lead volume</t>
        </is>
      </c>
    </row>
    <row r="16" ht="15" customHeight="1" s="19">
      <c r="A16" s="28" t="inlineStr">
        <is>
          <t>Revenue per month</t>
        </is>
      </c>
      <c r="B16" s="23" t="inlineStr">
        <is>
          <t>Not tracked</t>
        </is>
      </c>
      <c r="C16" s="23" t="n">
        <v>180000</v>
      </c>
      <c r="D16" s="23" t="inlineStr">
        <is>
          <t>PHP/month</t>
        </is>
      </c>
      <c r="E16" s="23" t="inlineStr">
        <is>
          <t>Target from whitening upside; actual baseline not provided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8" min="1" max="1"/>
    <col width="22" customWidth="1" style="18" min="2" max="2"/>
    <col width="22" customWidth="1" style="18" min="3" max="3"/>
    <col width="22" customWidth="1" style="18" min="4" max="4"/>
    <col width="22" customWidth="1" style="18" min="5" max="5"/>
    <col width="22" customWidth="1" style="18" min="6" max="8"/>
    <col width="22" customWidth="1" style="19" min="7" max="7"/>
    <col width="22" customWidth="1" style="19" min="8" max="8"/>
    <col width="22" customWidth="1" style="18" min="9" max="9"/>
  </cols>
  <sheetData>
    <row r="1" ht="31.5" customHeight="1" s="19">
      <c r="A1" s="26" t="inlineStr">
        <is>
          <t>Week #</t>
        </is>
      </c>
      <c r="B1" s="26" t="inlineStr">
        <is>
          <t>Week Start Date</t>
        </is>
      </c>
      <c r="C1" s="26">
        <f>'Campaign Setup'!A11</f>
        <v/>
      </c>
      <c r="D1" s="26">
        <f>'Campaign Setup'!A12</f>
        <v/>
      </c>
      <c r="E1" s="26">
        <f>'Campaign Setup'!A13</f>
        <v/>
      </c>
      <c r="F1" s="26">
        <f>'Campaign Setup'!A14</f>
        <v/>
      </c>
      <c r="G1" s="26">
        <f>'Campaign Setup'!A15</f>
        <v/>
      </c>
      <c r="H1" s="26">
        <f>'Campaign Setup'!A16</f>
        <v/>
      </c>
      <c r="I1" s="26" t="inlineStr">
        <is>
          <t>Notes</t>
        </is>
      </c>
    </row>
    <row r="2" ht="15" customHeight="1" s="19">
      <c r="A2" s="22" t="n">
        <v>1</v>
      </c>
      <c r="B2" s="29">
        <f>'Campaign Setup'!B4</f>
        <v/>
      </c>
      <c r="C2" s="23" t="n"/>
      <c r="D2" s="23" t="n"/>
      <c r="E2" s="23" t="n"/>
      <c r="F2" s="23" t="n"/>
      <c r="G2" s="23" t="n"/>
      <c r="H2" s="23" t="n"/>
      <c r="I2" s="23" t="n"/>
    </row>
    <row r="3" ht="15" customHeight="1" s="19">
      <c r="A3" s="22" t="n">
        <v>2</v>
      </c>
      <c r="B3" s="29">
        <f>B2+7</f>
        <v/>
      </c>
      <c r="C3" s="23" t="n"/>
      <c r="D3" s="23" t="n"/>
      <c r="E3" s="23" t="n"/>
      <c r="F3" s="23" t="n"/>
      <c r="G3" s="23" t="n"/>
      <c r="H3" s="23" t="n"/>
      <c r="I3" s="23" t="n"/>
    </row>
    <row r="4" ht="15" customHeight="1" s="19">
      <c r="A4" s="22" t="n">
        <v>3</v>
      </c>
      <c r="B4" s="29">
        <f>B3+7</f>
        <v/>
      </c>
      <c r="C4" s="23" t="n"/>
      <c r="D4" s="23" t="n"/>
      <c r="E4" s="23" t="n"/>
      <c r="F4" s="23" t="n"/>
      <c r="G4" s="23" t="n"/>
      <c r="H4" s="23" t="n"/>
      <c r="I4" s="23" t="n"/>
    </row>
    <row r="5" ht="15" customHeight="1" s="19">
      <c r="A5" s="22" t="n">
        <v>4</v>
      </c>
      <c r="B5" s="29">
        <f>B4+7</f>
        <v/>
      </c>
      <c r="C5" s="23" t="n"/>
      <c r="D5" s="23" t="n"/>
      <c r="E5" s="23" t="n"/>
      <c r="F5" s="23" t="n"/>
      <c r="G5" s="23" t="n"/>
      <c r="H5" s="23" t="n"/>
      <c r="I5" s="23" t="n"/>
    </row>
    <row r="6" ht="15" customHeight="1" s="19">
      <c r="A6" s="22" t="n">
        <v>5</v>
      </c>
      <c r="B6" s="29">
        <f>B5+7</f>
        <v/>
      </c>
      <c r="C6" s="23" t="n"/>
      <c r="D6" s="23" t="n"/>
      <c r="E6" s="23" t="n"/>
      <c r="F6" s="23" t="n"/>
      <c r="G6" s="23" t="n"/>
      <c r="H6" s="23" t="n"/>
      <c r="I6" s="23" t="n"/>
    </row>
    <row r="7" ht="15" customHeight="1" s="19">
      <c r="A7" s="22" t="n">
        <v>6</v>
      </c>
      <c r="B7" s="29">
        <f>B6+7</f>
        <v/>
      </c>
      <c r="C7" s="23" t="n"/>
      <c r="D7" s="23" t="n"/>
      <c r="E7" s="23" t="n"/>
      <c r="F7" s="23" t="n"/>
      <c r="G7" s="23" t="n"/>
      <c r="H7" s="23" t="n"/>
      <c r="I7" s="23" t="n"/>
    </row>
    <row r="8" ht="15" customHeight="1" s="19">
      <c r="A8" s="22" t="n">
        <v>7</v>
      </c>
      <c r="B8" s="29">
        <f>B7+7</f>
        <v/>
      </c>
      <c r="C8" s="23" t="n"/>
      <c r="D8" s="23" t="n"/>
      <c r="E8" s="23" t="n"/>
      <c r="F8" s="23" t="n"/>
      <c r="G8" s="23" t="n"/>
      <c r="H8" s="23" t="n"/>
      <c r="I8" s="23" t="n"/>
    </row>
    <row r="9" ht="15" customHeight="1" s="19">
      <c r="A9" s="22" t="n">
        <v>8</v>
      </c>
      <c r="B9" s="29">
        <f>B8+7</f>
        <v/>
      </c>
      <c r="C9" s="23" t="n"/>
      <c r="D9" s="23" t="n"/>
      <c r="E9" s="23" t="n"/>
      <c r="F9" s="23" t="n"/>
      <c r="G9" s="23" t="n"/>
      <c r="H9" s="23" t="n"/>
      <c r="I9" s="23" t="n"/>
    </row>
    <row r="10" ht="7.5" customHeight="1" s="19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5" customHeight="1" s="19">
      <c r="A11" s="26" t="inlineStr">
        <is>
          <t>Totals / Avg</t>
        </is>
      </c>
      <c r="B11" s="30" t="n"/>
      <c r="C11" s="26">
        <f>SUM(C2:C9)</f>
        <v/>
      </c>
      <c r="D11" s="26">
        <f>IFERROR(AVERAGE(D2:D9),"")</f>
        <v/>
      </c>
      <c r="E11" s="26">
        <f>IFERROR(AVERAGE(E2:E9),"")</f>
        <v/>
      </c>
      <c r="F11" s="26">
        <f>IFERROR(AVERAGE(F2:F9),"")</f>
        <v/>
      </c>
      <c r="G11" s="26">
        <f>SUM(G2:G9)</f>
        <v/>
      </c>
      <c r="H11" s="26">
        <f>SUM(H2:H9)</f>
        <v/>
      </c>
      <c r="I11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8" min="1" max="1"/>
    <col width="22" customWidth="1" style="18" min="2" max="2"/>
    <col width="22" customWidth="1" style="18" min="3" max="4"/>
    <col width="22" customWidth="1" style="19" min="4" max="4"/>
    <col width="22" customWidth="1" style="18" min="5" max="5"/>
  </cols>
  <sheetData>
    <row r="1" ht="31.5" customHeight="1" s="19">
      <c r="A1" s="20" t="inlineStr">
        <is>
          <t>CAMPAIGN PROGRESS DASHBOARD</t>
        </is>
      </c>
      <c r="B1" s="21" t="n"/>
      <c r="C1" s="21" t="n"/>
      <c r="D1" s="21" t="n"/>
      <c r="E1" s="21" t="n"/>
    </row>
    <row r="2" ht="7.5" customHeight="1" s="19">
      <c r="A2" s="31" t="inlineStr">
        <is>
          <t>Campaign Overview</t>
        </is>
      </c>
      <c r="B2" s="32" t="n"/>
      <c r="C2" s="32" t="n"/>
      <c r="D2" s="32" t="n"/>
      <c r="E2" s="32" t="n"/>
    </row>
    <row r="3" ht="15" customHeight="1" s="19">
      <c r="A3" s="24" t="inlineStr">
        <is>
          <t>Campaign Name</t>
        </is>
      </c>
      <c r="B3" s="28">
        <f>'Campaign Setup'!B2</f>
        <v/>
      </c>
      <c r="C3" s="21" t="n"/>
      <c r="D3" s="21" t="n"/>
      <c r="E3" s="21" t="n"/>
    </row>
    <row r="4" ht="15" customHeight="1" s="19">
      <c r="A4" s="22" t="inlineStr">
        <is>
          <t>Start Date</t>
        </is>
      </c>
      <c r="B4" s="29">
        <f>'Campaign Setup'!B4</f>
        <v/>
      </c>
      <c r="C4" s="21" t="n"/>
      <c r="D4" s="21" t="n"/>
      <c r="E4" s="21" t="n"/>
    </row>
    <row r="5" ht="15" customHeight="1" s="19">
      <c r="A5" s="24" t="inlineStr">
        <is>
          <t>End Date</t>
        </is>
      </c>
      <c r="B5" s="33">
        <f>'Campaign Setup'!B5</f>
        <v/>
      </c>
      <c r="C5" s="21" t="n"/>
      <c r="D5" s="21" t="n"/>
      <c r="E5" s="21" t="n"/>
    </row>
    <row r="6" ht="15" customHeight="1" s="19">
      <c r="A6" s="22" t="inlineStr">
        <is>
          <t>Days Elapsed</t>
        </is>
      </c>
      <c r="B6" s="27">
        <f>TODAY()-'Campaign Setup'!B4</f>
        <v/>
      </c>
      <c r="C6" s="21" t="n"/>
      <c r="D6" s="21" t="n"/>
      <c r="E6" s="21" t="n"/>
    </row>
    <row r="7" ht="15" customHeight="1" s="19">
      <c r="A7" s="24" t="inlineStr">
        <is>
          <t>Days Remaining</t>
        </is>
      </c>
      <c r="B7" s="28">
        <f>'Campaign Setup'!B5-TODAY()</f>
        <v/>
      </c>
      <c r="C7" s="21" t="n"/>
      <c r="D7" s="21" t="n"/>
      <c r="E7" s="21" t="n"/>
    </row>
    <row r="8" ht="15" customHeight="1" s="19">
      <c r="A8" s="22" t="inlineStr">
        <is>
          <t>Primary Goal</t>
        </is>
      </c>
      <c r="B8" s="27">
        <f>'Campaign Setup'!B6</f>
        <v/>
      </c>
      <c r="C8" s="21" t="n"/>
      <c r="D8" s="21" t="n"/>
      <c r="E8" s="21" t="n"/>
    </row>
    <row r="9" ht="15" customHeight="1" s="19">
      <c r="A9" s="24" t="inlineStr">
        <is>
          <t>Goal Target</t>
        </is>
      </c>
      <c r="B9" s="28">
        <f>'Campaign Setup'!B7</f>
        <v/>
      </c>
      <c r="C9" s="21" t="n"/>
      <c r="D9" s="21" t="n"/>
      <c r="E9" s="21" t="n"/>
    </row>
    <row r="10" ht="15" customHeight="1" s="19">
      <c r="A10" s="22" t="inlineStr">
        <is>
          <t>Goal Metric</t>
        </is>
      </c>
      <c r="B10" s="27">
        <f>'Campaign Setup'!B8</f>
        <v/>
      </c>
      <c r="C10" s="21" t="n"/>
      <c r="D10" s="21" t="n"/>
      <c r="E10" s="21" t="n"/>
    </row>
    <row r="11" ht="12" customHeight="1" s="19">
      <c r="A11" s="31" t="inlineStr">
        <is>
          <t>KPI Status</t>
        </is>
      </c>
      <c r="B11" s="32" t="n"/>
      <c r="C11" s="32" t="n"/>
      <c r="D11" s="32" t="n"/>
      <c r="E11" s="32" t="n"/>
    </row>
    <row r="12" ht="21.75" customHeight="1" s="19">
      <c r="A12" s="26" t="inlineStr">
        <is>
          <t>KPI Name</t>
        </is>
      </c>
      <c r="B12" s="26" t="inlineStr">
        <is>
          <t>Latest Actual (Wk 8)</t>
        </is>
      </c>
      <c r="C12" s="26" t="inlineStr">
        <is>
          <t>Target</t>
        </is>
      </c>
      <c r="D12" s="26" t="inlineStr">
        <is>
          <t>Status</t>
        </is>
      </c>
      <c r="E12" s="21" t="n"/>
    </row>
    <row r="13" ht="15" customHeight="1" s="19">
      <c r="A13" s="28">
        <f>'Campaign Setup'!A11</f>
        <v/>
      </c>
      <c r="B13" s="28">
        <f>'Weekly Tracker'!C9</f>
        <v/>
      </c>
      <c r="C13" s="28">
        <f>'Campaign Setup'!C11</f>
        <v/>
      </c>
      <c r="D13" s="28">
        <f>IF(B13&gt;=C13,"On Track","Needs Attention")</f>
        <v/>
      </c>
      <c r="E13" s="21" t="n"/>
    </row>
    <row r="14" ht="15" customHeight="1" s="19">
      <c r="A14" s="27">
        <f>'Campaign Setup'!A12</f>
        <v/>
      </c>
      <c r="B14" s="27">
        <f>'Weekly Tracker'!D9</f>
        <v/>
      </c>
      <c r="C14" s="27">
        <f>'Campaign Setup'!C12</f>
        <v/>
      </c>
      <c r="D14" s="27">
        <f>IF(B14&lt;=C14,"On Track","Needs Attention")</f>
        <v/>
      </c>
      <c r="E14" s="21" t="n"/>
    </row>
    <row r="15" ht="15" customHeight="1" s="19">
      <c r="A15" s="28">
        <f>'Campaign Setup'!A13</f>
        <v/>
      </c>
      <c r="B15" s="28">
        <f>'Weekly Tracker'!E9</f>
        <v/>
      </c>
      <c r="C15" s="28">
        <f>'Campaign Setup'!C13</f>
        <v/>
      </c>
      <c r="D15" s="28">
        <f>IF(B15&gt;=C15,"On Track","Needs Attention")</f>
        <v/>
      </c>
      <c r="E15" s="21" t="n"/>
    </row>
    <row r="16" ht="15" customHeight="1" s="19">
      <c r="A16" s="27">
        <f>'Campaign Setup'!A14</f>
        <v/>
      </c>
      <c r="B16" s="27">
        <f>'Weekly Tracker'!F9</f>
        <v/>
      </c>
      <c r="C16" s="27">
        <f>'Campaign Setup'!C14</f>
        <v/>
      </c>
      <c r="D16" s="27">
        <f>IF(B16&gt;=C16,"On Track","Needs Attention")</f>
        <v/>
      </c>
      <c r="E16" s="21" t="n"/>
    </row>
    <row r="17" ht="15" customHeight="1" s="19">
      <c r="A17" s="28">
        <f>'Campaign Setup'!A15</f>
        <v/>
      </c>
      <c r="B17" s="28">
        <f>'Weekly Tracker'!G9</f>
        <v/>
      </c>
      <c r="C17" s="28">
        <f>'Campaign Setup'!C15</f>
        <v/>
      </c>
      <c r="D17" s="28">
        <f>IF(B17&gt;=C17,"On Track","Needs Attention")</f>
        <v/>
      </c>
      <c r="E17" s="21" t="n"/>
    </row>
    <row r="18" ht="15" customHeight="1" s="19">
      <c r="A18" s="27">
        <f>'Campaign Setup'!A16</f>
        <v/>
      </c>
      <c r="B18" s="27">
        <f>'Weekly Tracker'!H9</f>
        <v/>
      </c>
      <c r="C18" s="27">
        <f>'Campaign Setup'!C16</f>
        <v/>
      </c>
      <c r="D18" s="27">
        <f>IF(B18&gt;=C18,"On Track","Needs Attention")</f>
        <v/>
      </c>
      <c r="E18" s="21" t="n"/>
    </row>
  </sheetData>
  <mergeCells count="3">
    <mergeCell ref="A2:E2"/>
    <mergeCell ref="A11:E11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2026-04-20T04:15:28Z</dcterms:created>
  <dcterms:modified xmlns:dcterms="http://purl.org/dc/terms/" xmlns:xsi="http://www.w3.org/2001/XMLSchema-instance" xsi:type="dcterms:W3CDTF">2026-07-26T02:00:36Z</dcterms:modified>
  <cp:revision>0</cp:revision>
</cp:coreProperties>
</file>